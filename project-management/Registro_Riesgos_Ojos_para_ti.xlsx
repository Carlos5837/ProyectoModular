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isk Register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color rgb="FF38556F"/>
      <sz val="10"/>
    </font>
    <font>
      <name val="Carlito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C2848"/>
      </patternFill>
    </fill>
    <fill>
      <patternFill patternType="solid">
        <fgColor rgb="FFEEF6FD"/>
      </patternFill>
    </fill>
    <fill>
      <patternFill patternType="solid">
        <fgColor rgb="FF2778C9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dxfs count="3">
    <dxf>
      <font>
        <b val="1"/>
        <color rgb="FF9A3442"/>
      </font>
      <fill>
        <patternFill patternType="solid">
          <bgColor rgb="FFFDE7EA"/>
        </patternFill>
      </fill>
    </dxf>
    <dxf>
      <font>
        <b val="1"/>
        <color rgb="FF8B6514"/>
      </font>
      <fill>
        <patternFill patternType="solid">
          <bgColor rgb="FFFFF4D6"/>
        </patternFill>
      </fill>
    </dxf>
    <dxf>
      <font>
        <b val="1"/>
        <color rgb="FF28705A"/>
      </font>
      <fill>
        <patternFill patternType="solid">
          <bgColor rgb="FFEAF7F1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iskTable" displayName="RiskTable" ref="A4:M24" headerRowCount="1" totalsRowCount="0" totalsRowShown="0">
  <tableColumns count="13">
    <tableColumn id="1" name="ID"/>
    <tableColumn id="2" name="Riesgo / condición"/>
    <tableColumn id="3" name="Causa"/>
    <tableColumn id="4" name="Prob."/>
    <tableColumn id="5" name="Impacto"/>
    <tableColumn id="6" name="Exposición"/>
    <tableColumn id="7" name="Prioridad"/>
    <tableColumn id="8" name="Respuesta preventiva"/>
    <tableColumn id="9" name="Contingencia"/>
    <tableColumn id="10" name="Owner"/>
    <tableColumn id="11" name="Estado"/>
    <tableColumn id="12" name="Evidencia / Issue"/>
    <tableColumn id="13" name="Última rev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24" customWidth="1" min="3" max="3"/>
    <col width="9" customWidth="1" min="4" max="4"/>
    <col width="9" customWidth="1" min="5" max="5"/>
    <col width="11" customWidth="1" min="6" max="6"/>
    <col width="11" customWidth="1" min="7" max="7"/>
    <col width="30" customWidth="1" min="8" max="8"/>
    <col width="30" customWidth="1" min="9" max="9"/>
    <col width="18" customWidth="1" min="10" max="10"/>
    <col width="15" customWidth="1" min="11" max="11"/>
    <col width="20" customWidth="1" min="12" max="12"/>
    <col width="16" customWidth="1" min="13" max="13"/>
  </cols>
  <sheetData>
    <row r="1" ht="30" customHeight="1">
      <c r="A1" s="7" t="inlineStr">
        <is>
          <t>RISK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8" customHeight="1">
      <c r="A2" s="13" t="inlineStr">
        <is>
          <t>Registre riesgos antes de que ocurran y actualice su estado durante la ejecución. Probabilidad e impacto se califican de 1 a 5.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 ht="28" customHeight="1">
      <c r="A4" s="18" t="inlineStr">
        <is>
          <t>ID</t>
        </is>
      </c>
      <c r="B4" s="18" t="inlineStr">
        <is>
          <t>Riesgo / condición</t>
        </is>
      </c>
      <c r="C4" s="18" t="inlineStr">
        <is>
          <t>Causa</t>
        </is>
      </c>
      <c r="D4" s="18" t="inlineStr">
        <is>
          <t>Prob.</t>
        </is>
      </c>
      <c r="E4" s="18" t="inlineStr">
        <is>
          <t>Impacto</t>
        </is>
      </c>
      <c r="F4" s="18" t="inlineStr">
        <is>
          <t>Exposición</t>
        </is>
      </c>
      <c r="G4" s="18" t="inlineStr">
        <is>
          <t>Prioridad</t>
        </is>
      </c>
      <c r="H4" s="18" t="inlineStr">
        <is>
          <t>Respuesta preventiva</t>
        </is>
      </c>
      <c r="I4" s="18" t="inlineStr">
        <is>
          <t>Contingencia</t>
        </is>
      </c>
      <c r="J4" s="18" t="inlineStr">
        <is>
          <t>Owner</t>
        </is>
      </c>
      <c r="K4" s="18" t="inlineStr">
        <is>
          <t>Estado</t>
        </is>
      </c>
      <c r="L4" s="18" t="inlineStr">
        <is>
          <t>Evidencia / Issue</t>
        </is>
      </c>
      <c r="M4" s="18" t="inlineStr">
        <is>
          <t>Última revisión</t>
        </is>
      </c>
    </row>
    <row r="5">
      <c r="A5" s="24" t="inlineStr">
        <is>
          <t>R-01</t>
        </is>
      </c>
      <c r="B5" s="24" t="inlineStr">
        <is>
          <t>La aplicación no es compatible con algunos dispositivos Android</t>
        </is>
      </c>
      <c r="C5" s="24" t="inlineStr">
        <is>
          <t>Diferencias de versiones de Android, fabricantes o permisos del sistema</t>
        </is>
      </c>
      <c r="D5" s="24" t="n">
        <v>3</v>
      </c>
      <c r="E5" s="24" t="n">
        <v>4</v>
      </c>
      <c r="F5" s="24">
        <f>D5*E5</f>
        <v/>
      </c>
      <c r="G5" s="24">
        <f>IF(F5&gt;=15,"Alta",IF(F5&gt;=6,"Media","Baja"))</f>
        <v/>
      </c>
      <c r="H5" s="24" t="inlineStr">
        <is>
          <t>Probar en varias versiones y dispositivos; definir versión mínima compatible</t>
        </is>
      </c>
      <c r="I5" s="24" t="inlineStr">
        <is>
          <t>Priorizar dispositivos compatibles y documentar alternativas temporales</t>
        </is>
      </c>
      <c r="J5" s="24" t="inlineStr">
        <is>
          <t>Equipo de desarrollo</t>
        </is>
      </c>
      <c r="K5" s="24" t="inlineStr">
        <is>
          <t>Abierto</t>
        </is>
      </c>
      <c r="L5" s="24" t="inlineStr">
        <is>
          <t>Matriz de pruebas por dispositivo</t>
        </is>
      </c>
      <c r="M5" s="24" t="inlineStr">
        <is>
          <t>2026-10-14</t>
        </is>
      </c>
    </row>
    <row r="6">
      <c r="A6" s="24" t="inlineStr">
        <is>
          <t>R-02</t>
        </is>
      </c>
      <c r="B6" s="24" t="inlineStr">
        <is>
          <t>Las indicaciones de voz no se escuchan o se entienden mal</t>
        </is>
      </c>
      <c r="C6" s="24" t="inlineStr">
        <is>
          <t>Ruido ambiental, volumen bajo, motor de voz o idioma mal configurado</t>
        </is>
      </c>
      <c r="D6" s="24" t="n">
        <v>3</v>
      </c>
      <c r="E6" s="24" t="n">
        <v>5</v>
      </c>
      <c r="F6" s="24">
        <f>D6*E6</f>
        <v/>
      </c>
      <c r="G6" s="24">
        <f>IF(F6&gt;=15,"Alta",IF(F6&gt;=6,"Media","Baja"))</f>
        <v/>
      </c>
      <c r="H6" s="24" t="inlineStr">
        <is>
          <t>Probar voz y volumen; permitir repetir instrucciones y ajustar velocidad</t>
        </is>
      </c>
      <c r="I6" s="24" t="inlineStr">
        <is>
          <t>Ofrecer vibración, texto accesible y opción de repetir la indicación</t>
        </is>
      </c>
      <c r="J6" s="24" t="inlineStr">
        <is>
          <t>Equipo de desarrollo</t>
        </is>
      </c>
      <c r="K6" s="24" t="inlineStr">
        <is>
          <t>Abierto</t>
        </is>
      </c>
      <c r="L6" s="24" t="inlineStr">
        <is>
          <t>Pruebas de lectura por voz</t>
        </is>
      </c>
      <c r="M6" s="24" t="inlineStr">
        <is>
          <t>2026-10-14</t>
        </is>
      </c>
    </row>
    <row r="7">
      <c r="A7" s="24" t="inlineStr">
        <is>
          <t>R-03</t>
        </is>
      </c>
      <c r="B7" s="24" t="inlineStr">
        <is>
          <t>La aplicación no es suficientemente accesible para personas con discapacidad visual</t>
        </is>
      </c>
      <c r="C7" s="24" t="inlineStr">
        <is>
          <t>Controles sin etiquetas, navegación confusa o incompatibilidad con TalkBack</t>
        </is>
      </c>
      <c r="D7" s="24" t="n">
        <v>3</v>
      </c>
      <c r="E7" s="24" t="n">
        <v>5</v>
      </c>
      <c r="F7" s="24">
        <f>D7*E7</f>
        <v/>
      </c>
      <c r="G7" s="24">
        <f>IF(F7&gt;=15,"Alta",IF(F7&gt;=6,"Media","Baja"))</f>
        <v/>
      </c>
      <c r="H7" s="24" t="inlineStr">
        <is>
          <t>Diseñar con etiquetas accesibles y probar con TalkBack junto con usuarios</t>
        </is>
      </c>
      <c r="I7" s="24" t="inlineStr">
        <is>
          <t>Corregir los bloqueos de navegación antes de ampliar el lanzamiento</t>
        </is>
      </c>
      <c r="J7" s="24" t="inlineStr">
        <is>
          <t>Responsable de accesibilidad</t>
        </is>
      </c>
      <c r="K7" s="24" t="inlineStr">
        <is>
          <t>Abierto</t>
        </is>
      </c>
      <c r="L7" s="24" t="inlineStr">
        <is>
          <t>Lista de verificación de accesibilidad</t>
        </is>
      </c>
      <c r="M7" s="24" t="inlineStr">
        <is>
          <t>2026-10-14</t>
        </is>
      </c>
    </row>
    <row r="8">
      <c r="A8" s="24" t="inlineStr">
        <is>
          <t>R-04</t>
        </is>
      </c>
      <c r="B8" s="24" t="inlineStr">
        <is>
          <t>La aplicación ofrece información incorrecta sobre el entorno</t>
        </is>
      </c>
      <c r="C8" s="24" t="inlineStr">
        <is>
          <t>Limitaciones de cámara, sensores, iluminación o modelo de reconocimiento</t>
        </is>
      </c>
      <c r="D8" s="24" t="n">
        <v>3</v>
      </c>
      <c r="E8" s="24" t="n">
        <v>5</v>
      </c>
      <c r="F8" s="24">
        <f>D8*E8</f>
        <v/>
      </c>
      <c r="G8" s="24">
        <f>IF(F8&gt;=15,"Alta",IF(F8&gt;=6,"Media","Baja"))</f>
        <v/>
      </c>
      <c r="H8" s="24" t="inlineStr">
        <is>
          <t>Mostrar límites del sistema y validar funciones en situaciones variadas</t>
        </is>
      </c>
      <c r="I8" s="24" t="inlineStr">
        <is>
          <t>Advertir que se debe confirmar la información y no depender exclusivamente de la app en situaciones peligrosas</t>
        </is>
      </c>
      <c r="J8" s="24" t="inlineStr">
        <is>
          <t>Equipo de desarrollo</t>
        </is>
      </c>
      <c r="K8" s="24" t="inlineStr">
        <is>
          <t>Abierto</t>
        </is>
      </c>
      <c r="L8" s="24" t="inlineStr">
        <is>
          <t>Registro de pruebas y errores</t>
        </is>
      </c>
      <c r="M8" s="24" t="inlineStr">
        <is>
          <t>2026-10-14</t>
        </is>
      </c>
    </row>
    <row r="9">
      <c r="A9" s="24" t="inlineStr">
        <is>
          <t>R-05</t>
        </is>
      </c>
      <c r="B9" s="24" t="inlineStr">
        <is>
          <t>Se recopilan datos personales sin protección suficiente</t>
        </is>
      </c>
      <c r="C9" s="24" t="inlineStr">
        <is>
          <t>Almacenamiento innecesario de imágenes, ubicación o información de uso</t>
        </is>
      </c>
      <c r="D9" s="24" t="n">
        <v>2</v>
      </c>
      <c r="E9" s="24" t="n">
        <v>5</v>
      </c>
      <c r="F9" s="24">
        <f>D9*E9</f>
        <v/>
      </c>
      <c r="G9" s="24">
        <f>IF(F9&gt;=15,"Alta",IF(F9&gt;=6,"Media","Baja"))</f>
        <v/>
      </c>
      <c r="H9" s="24" t="inlineStr">
        <is>
          <t>Minimizar datos, pedir consentimiento y proteger los datos almacenados y transmitidos</t>
        </is>
      </c>
      <c r="I9" s="24" t="inlineStr">
        <is>
          <t>Desactivar la función afectada, investigar el incidente y eliminar datos expuestos cuando corresponda</t>
        </is>
      </c>
      <c r="J9" s="24" t="inlineStr">
        <is>
          <t>Responsable de privacidad</t>
        </is>
      </c>
      <c r="K9" s="24" t="inlineStr">
        <is>
          <t>Abierto</t>
        </is>
      </c>
      <c r="L9" s="24" t="inlineStr">
        <is>
          <t>Revisión de permisos y política de privacidad</t>
        </is>
      </c>
      <c r="M9" s="24" t="inlineStr">
        <is>
          <t>2026-10-14</t>
        </is>
      </c>
    </row>
    <row r="10">
      <c r="A10" s="24" t="inlineStr">
        <is>
          <t>R-06</t>
        </is>
      </c>
      <c r="B10" s="24" t="inlineStr">
        <is>
          <t>El desarrollo se retrasa y no se completan las funciones prioritarias</t>
        </is>
      </c>
      <c r="C10" s="24" t="inlineStr">
        <is>
          <t>Alcance demasiado amplio, falta de experiencia o estimaciones poco realistas</t>
        </is>
      </c>
      <c r="D10" s="24" t="n">
        <v>4</v>
      </c>
      <c r="E10" s="24" t="n">
        <v>4</v>
      </c>
      <c r="F10" s="24">
        <f>D10*E10</f>
        <v/>
      </c>
      <c r="G10" s="24">
        <f>IF(F10&gt;=15,"Alta",IF(F10&gt;=6,"Media","Baja"))</f>
        <v/>
      </c>
      <c r="H10" s="24" t="inlineStr">
        <is>
          <t>Definir un producto mínimo viable y dividir el trabajo en entregas pequeñas</t>
        </is>
      </c>
      <c r="I10" s="24" t="inlineStr">
        <is>
          <t>Reducir funciones secundarias y priorizar navegación e interacción accesibles</t>
        </is>
      </c>
      <c r="J10" s="24" t="inlineStr">
        <is>
          <t>Líder del proyecto</t>
        </is>
      </c>
      <c r="K10" s="24" t="inlineStr">
        <is>
          <t>Abierto</t>
        </is>
      </c>
      <c r="L10" s="24" t="inlineStr">
        <is>
          <t>Plan de trabajo y seguimiento de tareas</t>
        </is>
      </c>
      <c r="M10" s="24" t="inlineStr">
        <is>
          <t>2026-10-14</t>
        </is>
      </c>
    </row>
    <row r="11">
      <c r="A11" s="24" t="inlineStr">
        <is>
          <t>R-07</t>
        </is>
      </c>
      <c r="B11" s="24" t="inlineStr">
        <is>
          <t>Las personas usuarias tienen dificultades para aprender a utilizar la app</t>
        </is>
      </c>
      <c r="C11" s="24" t="inlineStr">
        <is>
          <t>Flujo de navegación complejo o instrucciones insuficientes</t>
        </is>
      </c>
      <c r="D11" s="24" t="n">
        <v>3</v>
      </c>
      <c r="E11" s="24" t="n">
        <v>4</v>
      </c>
      <c r="F11" s="24">
        <f>D11*E11</f>
        <v/>
      </c>
      <c r="G11" s="24">
        <f>IF(F11&gt;=15,"Alta",IF(F11&gt;=6,"Media","Baja"))</f>
        <v/>
      </c>
      <c r="H11" s="24" t="inlineStr">
        <is>
          <t>Realizar pruebas de usabilidad y entrevistas con personas del público objetivo</t>
        </is>
      </c>
      <c r="I11" s="24" t="inlineStr">
        <is>
          <t>Simplificar el flujo y ofrecer una guía inicial accesible</t>
        </is>
      </c>
      <c r="J11" s="24" t="inlineStr">
        <is>
          <t>Responsable de UX</t>
        </is>
      </c>
      <c r="K11" s="24" t="inlineStr">
        <is>
          <t>Abierto</t>
        </is>
      </c>
      <c r="L11" s="24" t="inlineStr">
        <is>
          <t>Notas de pruebas de usabilidad</t>
        </is>
      </c>
      <c r="M11" s="24" t="inlineStr">
        <is>
          <t>2026-10-14</t>
        </is>
      </c>
    </row>
    <row r="12">
      <c r="A12" s="24" t="inlineStr">
        <is>
          <t>R-08</t>
        </is>
      </c>
      <c r="B12" s="24" t="inlineStr">
        <is>
          <t>La aplicación deja de funcionar sin conexión o con internet inestable</t>
        </is>
      </c>
      <c r="C12" s="24" t="inlineStr">
        <is>
          <t>Funciones que dependen de servicios remotos o conectividad continua</t>
        </is>
      </c>
      <c r="D12" s="24" t="n">
        <v>3</v>
      </c>
      <c r="E12" s="24" t="n">
        <v>3</v>
      </c>
      <c r="F12" s="24">
        <f>D12*E12</f>
        <v/>
      </c>
      <c r="G12" s="24">
        <f>IF(F12&gt;=15,"Alta",IF(F12&gt;=6,"Media","Baja"))</f>
        <v/>
      </c>
      <c r="H12" s="24" t="inlineStr">
        <is>
          <t>Identificar funciones que puedan operar sin conexión y probar cortes de red</t>
        </is>
      </c>
      <c r="I12" s="24" t="inlineStr">
        <is>
          <t>Informar qué funciones no están disponibles y ofrecer alternativas locales cuando sea posible</t>
        </is>
      </c>
      <c r="J12" s="24" t="inlineStr">
        <is>
          <t>Equipo de desarrollo</t>
        </is>
      </c>
      <c r="K12" s="24" t="inlineStr">
        <is>
          <t>Abierto</t>
        </is>
      </c>
      <c r="L12" s="24" t="inlineStr">
        <is>
          <t>Pruebas en modo avión y red limitada</t>
        </is>
      </c>
      <c r="M12" s="24" t="inlineStr">
        <is>
          <t>2026-10-14</t>
        </is>
      </c>
    </row>
    <row r="13">
      <c r="A13" s="24" t="inlineStr">
        <is>
          <t>R-09</t>
        </is>
      </c>
      <c r="B13" s="24" t="inlineStr">
        <is>
          <t>La batería o el rendimiento del teléfono se ven afectados</t>
        </is>
      </c>
      <c r="C13" s="24" t="inlineStr">
        <is>
          <t>Uso intensivo de cámara, GPS, procesamiento o reproducción de voz</t>
        </is>
      </c>
      <c r="D13" s="24" t="n">
        <v>3</v>
      </c>
      <c r="E13" s="24" t="n">
        <v>3</v>
      </c>
      <c r="F13" s="24">
        <f>D13*E13</f>
        <v/>
      </c>
      <c r="G13" s="24">
        <f>IF(F13&gt;=15,"Alta",IF(F13&gt;=6,"Media","Baja"))</f>
        <v/>
      </c>
      <c r="H13" s="24" t="inlineStr">
        <is>
          <t>Medir consumo y limitar procesos en segundo plano</t>
        </is>
      </c>
      <c r="I13" s="24" t="inlineStr">
        <is>
          <t>Permitir desactivar funciones de alto consumo y reducir frecuencia de procesamiento</t>
        </is>
      </c>
      <c r="J13" s="24" t="inlineStr">
        <is>
          <t>Equipo de desarrollo</t>
        </is>
      </c>
      <c r="K13" s="24" t="inlineStr">
        <is>
          <t>Abierto</t>
        </is>
      </c>
      <c r="L13" s="24" t="inlineStr">
        <is>
          <t>Pruebas de rendimiento y batería</t>
        </is>
      </c>
      <c r="M13" s="24" t="inlineStr">
        <is>
          <t>2026-10-14</t>
        </is>
      </c>
    </row>
    <row r="14">
      <c r="A14" s="24" t="inlineStr">
        <is>
          <t>R-10</t>
        </is>
      </c>
      <c r="B14" s="24" t="inlineStr">
        <is>
          <t>No se consigue participación suficiente de usuarios para validar el producto</t>
        </is>
      </c>
      <c r="C14" s="24" t="inlineStr">
        <is>
          <t>Dificultad para contactar asociaciones o personas voluntarias</t>
        </is>
      </c>
      <c r="D14" s="24" t="n">
        <v>3</v>
      </c>
      <c r="E14" s="24" t="n">
        <v>4</v>
      </c>
      <c r="F14" s="24">
        <f>D14*E14</f>
        <v/>
      </c>
      <c r="G14" s="24">
        <f>IF(F14&gt;=15,"Alta",IF(F14&gt;=6,"Media","Baja"))</f>
        <v/>
      </c>
      <c r="H14" s="24" t="inlineStr">
        <is>
          <t>Contactar con asociaciones, centros y comunidades desde etapas tempranas</t>
        </is>
      </c>
      <c r="I14" s="24" t="inlineStr">
        <is>
          <t>Realizar sesiones pequeñas y reprogramar pruebas con consentimiento informado</t>
        </is>
      </c>
      <c r="J14" s="24" t="inlineStr">
        <is>
          <t>Responsable de investigación</t>
        </is>
      </c>
      <c r="K14" s="24" t="inlineStr">
        <is>
          <t>Abierto</t>
        </is>
      </c>
      <c r="L14" s="24" t="inlineStr">
        <is>
          <t>Registro de contactos y sesiones</t>
        </is>
      </c>
      <c r="M14" s="24" t="inlineStr">
        <is>
          <t>2026-10-14</t>
        </is>
      </c>
    </row>
    <row r="15">
      <c r="A15" s="24" t="inlineStr">
        <is>
          <t>R-11</t>
        </is>
      </c>
      <c r="B15" s="24" t="inlineStr">
        <is>
          <t>Las funciones principales dependen de permisos que el usuario puede denegar</t>
        </is>
      </c>
      <c r="C15" s="24" t="inlineStr">
        <is>
          <t>Permisos de cámara, micrófono, ubicación u otros no concedidos</t>
        </is>
      </c>
      <c r="D15" s="24" t="n">
        <v>3</v>
      </c>
      <c r="E15" s="24" t="n">
        <v>3</v>
      </c>
      <c r="F15" s="24">
        <f>D15*E15</f>
        <v/>
      </c>
      <c r="G15" s="24">
        <f>IF(F15&gt;=15,"Alta",IF(F15&gt;=6,"Media","Baja"))</f>
        <v/>
      </c>
      <c r="H15" s="24" t="inlineStr">
        <is>
          <t>Solicitar permisos en el momento necesario y explicar su finalidad claramente</t>
        </is>
      </c>
      <c r="I15" s="24" t="inlineStr">
        <is>
          <t>Dar instrucciones accesibles para habilitarlos o permitir continuar con funciones alternativas</t>
        </is>
      </c>
      <c r="J15" s="24" t="inlineStr">
        <is>
          <t>Equipo de desarrollo</t>
        </is>
      </c>
      <c r="K15" s="24" t="inlineStr">
        <is>
          <t>Abierto</t>
        </is>
      </c>
      <c r="L15" s="24" t="inlineStr">
        <is>
          <t>Pruebas de permisos concedidos y denegados</t>
        </is>
      </c>
      <c r="M15" s="24" t="inlineStr">
        <is>
          <t>2026-10-14</t>
        </is>
      </c>
    </row>
    <row r="16">
      <c r="A16" s="24" t="inlineStr">
        <is>
          <t>R-12</t>
        </is>
      </c>
      <c r="B16" s="24" t="inlineStr">
        <is>
          <t>La aplicación genera una falsa sensación de seguridad al desplazarse</t>
        </is>
      </c>
      <c r="C16" s="24" t="inlineStr">
        <is>
          <t>La persona interpreta una indicación como garantía de que el camino está libre</t>
        </is>
      </c>
      <c r="D16" s="24" t="n">
        <v>2</v>
      </c>
      <c r="E16" s="24" t="n">
        <v>5</v>
      </c>
      <c r="F16" s="24">
        <f>D16*E16</f>
        <v/>
      </c>
      <c r="G16" s="24">
        <f>IF(F16&gt;=15,"Alta",IF(F16&gt;=6,"Media","Baja"))</f>
        <v/>
      </c>
      <c r="H16" s="24" t="inlineStr">
        <is>
          <t>Evitar promesas de seguridad; evaluar mensajes de advertencia con usuarios</t>
        </is>
      </c>
      <c r="I16" s="24" t="inlineStr">
        <is>
          <t>Mostrar una advertencia clara y no presentar la app como sustituto de bastón, perro guía o entrenamiento de orientación</t>
        </is>
      </c>
      <c r="J16" s="24" t="inlineStr">
        <is>
          <t>Responsable de producto</t>
        </is>
      </c>
      <c r="K16" s="24" t="inlineStr">
        <is>
          <t>Abierto</t>
        </is>
      </c>
      <c r="L16" s="24" t="inlineStr">
        <is>
          <t>Revisión de mensajes y pruebas con usuarios</t>
        </is>
      </c>
      <c r="M16" s="24" t="inlineStr">
        <is>
          <t>2026-10-14</t>
        </is>
      </c>
    </row>
    <row r="17">
      <c r="A17" s="24" t="inlineStr">
        <is>
          <t>R-13</t>
        </is>
      </c>
      <c r="B17" s="24" t="str"/>
      <c r="C17" s="24" t="str"/>
      <c r="D17" s="24" t="n"/>
      <c r="E17" s="24" t="n"/>
      <c r="F17" s="24">
        <f>D17*E17</f>
        <v/>
      </c>
      <c r="G17" s="24">
        <f>IF(F17&gt;=15,"Alta",IF(F17&gt;=6,"Media","Baja"))</f>
        <v/>
      </c>
      <c r="H17" s="24" t="str"/>
      <c r="I17" s="24" t="str"/>
      <c r="J17" s="24" t="str"/>
      <c r="K17" s="24" t="inlineStr">
        <is>
          <t>Abierto</t>
        </is>
      </c>
      <c r="L17" s="24" t="str"/>
      <c r="M17" s="24" t="str"/>
    </row>
    <row r="18">
      <c r="A18" s="24" t="inlineStr">
        <is>
          <t>R-14</t>
        </is>
      </c>
      <c r="B18" s="24" t="str"/>
      <c r="C18" s="24" t="str"/>
      <c r="D18" s="24" t="n"/>
      <c r="E18" s="24" t="n"/>
      <c r="F18" s="24">
        <f>D18*E18</f>
        <v/>
      </c>
      <c r="G18" s="24">
        <f>IF(F18&gt;=15,"Alta",IF(F18&gt;=6,"Media","Baja"))</f>
        <v/>
      </c>
      <c r="H18" s="24" t="str"/>
      <c r="I18" s="24" t="str"/>
      <c r="J18" s="24" t="str"/>
      <c r="K18" s="24" t="inlineStr">
        <is>
          <t>Abierto</t>
        </is>
      </c>
      <c r="L18" s="24" t="str"/>
      <c r="M18" s="24" t="str"/>
    </row>
    <row r="19">
      <c r="A19" s="24" t="inlineStr">
        <is>
          <t>R-15</t>
        </is>
      </c>
      <c r="B19" s="24" t="str"/>
      <c r="C19" s="24" t="str"/>
      <c r="D19" s="24" t="n"/>
      <c r="E19" s="24" t="n"/>
      <c r="F19" s="24">
        <f>D19*E19</f>
        <v/>
      </c>
      <c r="G19" s="24">
        <f>IF(F19&gt;=15,"Alta",IF(F19&gt;=6,"Media","Baja"))</f>
        <v/>
      </c>
      <c r="H19" s="24" t="str"/>
      <c r="I19" s="24" t="str"/>
      <c r="J19" s="24" t="str"/>
      <c r="K19" s="24" t="inlineStr">
        <is>
          <t>Abierto</t>
        </is>
      </c>
      <c r="L19" s="24" t="str"/>
      <c r="M19" s="24" t="str"/>
    </row>
    <row r="20">
      <c r="A20" s="24" t="inlineStr">
        <is>
          <t>R-16</t>
        </is>
      </c>
      <c r="B20" s="24" t="str"/>
      <c r="C20" s="24" t="str"/>
      <c r="D20" s="24" t="n"/>
      <c r="E20" s="24" t="n"/>
      <c r="F20" s="24">
        <f>D20*E20</f>
        <v/>
      </c>
      <c r="G20" s="24">
        <f>IF(F20&gt;=15,"Alta",IF(F20&gt;=6,"Media","Baja"))</f>
        <v/>
      </c>
      <c r="H20" s="24" t="str"/>
      <c r="I20" s="24" t="str"/>
      <c r="J20" s="24" t="str"/>
      <c r="K20" s="24" t="inlineStr">
        <is>
          <t>Abierto</t>
        </is>
      </c>
      <c r="L20" s="24" t="str"/>
      <c r="M20" s="24" t="str"/>
    </row>
    <row r="21">
      <c r="A21" s="24" t="inlineStr">
        <is>
          <t>R-17</t>
        </is>
      </c>
      <c r="B21" s="24" t="str"/>
      <c r="C21" s="24" t="str"/>
      <c r="D21" s="24" t="n"/>
      <c r="E21" s="24" t="n"/>
      <c r="F21" s="24">
        <f>D21*E21</f>
        <v/>
      </c>
      <c r="G21" s="24">
        <f>IF(F21&gt;=15,"Alta",IF(F21&gt;=6,"Media","Baja"))</f>
        <v/>
      </c>
      <c r="H21" s="24" t="str"/>
      <c r="I21" s="24" t="str"/>
      <c r="J21" s="24" t="str"/>
      <c r="K21" s="24" t="inlineStr">
        <is>
          <t>Abierto</t>
        </is>
      </c>
      <c r="L21" s="24" t="str"/>
      <c r="M21" s="24" t="str"/>
    </row>
    <row r="22">
      <c r="A22" s="24" t="inlineStr">
        <is>
          <t>R-18</t>
        </is>
      </c>
      <c r="B22" s="24" t="str"/>
      <c r="C22" s="24" t="str"/>
      <c r="D22" s="24" t="n"/>
      <c r="E22" s="24" t="n"/>
      <c r="F22" s="24">
        <f>D22*E22</f>
        <v/>
      </c>
      <c r="G22" s="24">
        <f>IF(F22&gt;=15,"Alta",IF(F22&gt;=6,"Media","Baja"))</f>
        <v/>
      </c>
      <c r="H22" s="24" t="str"/>
      <c r="I22" s="24" t="str"/>
      <c r="J22" s="24" t="str"/>
      <c r="K22" s="24" t="inlineStr">
        <is>
          <t>Abierto</t>
        </is>
      </c>
      <c r="L22" s="24" t="str"/>
      <c r="M22" s="24" t="str"/>
    </row>
    <row r="23">
      <c r="A23" s="24" t="inlineStr">
        <is>
          <t>R-19</t>
        </is>
      </c>
      <c r="B23" s="24" t="str"/>
      <c r="C23" s="24" t="str"/>
      <c r="D23" s="24" t="n"/>
      <c r="E23" s="24" t="n"/>
      <c r="F23" s="24">
        <f>D23*E23</f>
        <v/>
      </c>
      <c r="G23" s="24">
        <f>IF(F23&gt;=15,"Alta",IF(F23&gt;=6,"Media","Baja"))</f>
        <v/>
      </c>
      <c r="H23" s="24" t="str"/>
      <c r="I23" s="24" t="str"/>
      <c r="J23" s="24" t="str"/>
      <c r="K23" s="24" t="inlineStr">
        <is>
          <t>Abierto</t>
        </is>
      </c>
      <c r="L23" s="24" t="str"/>
      <c r="M23" s="24" t="str"/>
    </row>
    <row r="24">
      <c r="A24" s="24" t="inlineStr">
        <is>
          <t>R-20</t>
        </is>
      </c>
      <c r="B24" s="24" t="str"/>
      <c r="C24" s="24" t="str"/>
      <c r="D24" s="24" t="n"/>
      <c r="E24" s="24" t="n"/>
      <c r="F24" s="24">
        <f>D24*E24</f>
        <v/>
      </c>
      <c r="G24" s="24">
        <f>IF(F24&gt;=15,"Alta",IF(F24&gt;=6,"Media","Baja"))</f>
        <v/>
      </c>
      <c r="H24" s="24" t="str"/>
      <c r="I24" s="24" t="str"/>
      <c r="J24" s="24" t="str"/>
      <c r="K24" s="24" t="inlineStr">
        <is>
          <t>Abierto</t>
        </is>
      </c>
      <c r="L24" s="24" t="str"/>
      <c r="M24" s="24" t="str"/>
    </row>
  </sheetData>
  <mergeCells count="2">
    <mergeCell ref="A2:M2"/>
    <mergeCell ref="A1:M1"/>
  </mergeCells>
  <conditionalFormatting sqref="G5:G24">
    <cfRule type="expression" priority="1" dxfId="0">
      <formula>G5="Alta"</formula>
    </cfRule>
    <cfRule type="expression" priority="2" dxfId="1">
      <formula>G5="Media"</formula>
    </cfRule>
    <cfRule type="expression" priority="3" dxfId="2">
      <formula>G5="Baja"</formula>
    </cfRule>
  </conditionalFormatting>
  <dataValidations count="3">
    <dataValidation sqref="D5:D24" showDropDown="0" showInputMessage="0" showErrorMessage="0" allowBlank="0" type="list">
      <formula1>"1,2,3,4,5"</formula1>
    </dataValidation>
    <dataValidation sqref="E5:E24" showDropDown="0" showInputMessage="0" showErrorMessage="0" allowBlank="0" type="list">
      <formula1>"1,2,3,4,5"</formula1>
    </dataValidation>
    <dataValidation sqref="K5:K24" showDropDown="0" showInputMessage="0" showErrorMessage="0" allowBlank="0" type="list">
      <formula1>"Abierto,Mitigando,Materializado,Cerrado"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2026-10-15T04:36:35Z</dcterms:created>
  <dcterms:modified xmlns:dcterms="http://purl.org/dc/terms/" xmlns:xsi="http://www.w3.org/2001/XMLSchema-instance" xsi:type="dcterms:W3CDTF">2026-10-15T04:36:35Z</dcterms:modified>
</cp:coreProperties>
</file>